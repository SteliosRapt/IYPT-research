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IYPT-8\"/>
    </mc:Choice>
  </mc:AlternateContent>
  <xr:revisionPtr revIDLastSave="0" documentId="13_ncr:1_{CA6955D3-D115-474B-94AB-AFFD71FAF1BA}" xr6:coauthVersionLast="47" xr6:coauthVersionMax="47" xr10:uidLastSave="{00000000-0000-0000-0000-000000000000}"/>
  <bookViews>
    <workbookView xWindow="6324" yWindow="1668" windowWidth="23040" windowHeight="12120" activeTab="1" xr2:uid="{00000000-000D-0000-FFFF-FFFF00000000}"/>
  </bookViews>
  <sheets>
    <sheet name="Data" sheetId="1" r:id="rId1"/>
    <sheet name="Geometry &amp; Segm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1" l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</calcChain>
</file>

<file path=xl/sharedStrings.xml><?xml version="1.0" encoding="utf-8"?>
<sst xmlns="http://schemas.openxmlformats.org/spreadsheetml/2006/main" count="89" uniqueCount="86">
  <si>
    <t>t(s)</t>
  </si>
  <si>
    <t>V(cm/s)</t>
  </si>
  <si>
    <t>L(cm)</t>
  </si>
  <si>
    <t>Geometric Parameters</t>
  </si>
  <si>
    <t>Node / Point</t>
  </si>
  <si>
    <t>x (cm)</t>
  </si>
  <si>
    <t>h (cm)</t>
  </si>
  <si>
    <t>Description</t>
  </si>
  <si>
    <t>A</t>
  </si>
  <si>
    <t>Inlet</t>
  </si>
  <si>
    <t>B</t>
  </si>
  <si>
    <t>First crest (below waterline)</t>
  </si>
  <si>
    <t>C</t>
  </si>
  <si>
    <t>Low point</t>
  </si>
  <si>
    <t>W'</t>
  </si>
  <si>
    <t>Waterline crossing (ascending) on C→D</t>
  </si>
  <si>
    <t>D</t>
  </si>
  <si>
    <t>Main crest (above waterline)</t>
  </si>
  <si>
    <t>W</t>
  </si>
  <si>
    <t>Waterline crossing (descending, last) on D→E</t>
  </si>
  <si>
    <t>E</t>
  </si>
  <si>
    <t>Outlet</t>
  </si>
  <si>
    <t>Initial water level (waterline):</t>
  </si>
  <si>
    <t>cm</t>
  </si>
  <si>
    <t>Segment Properties</t>
  </si>
  <si>
    <t>Segment</t>
  </si>
  <si>
    <t>Length (L_i) (cm)</t>
  </si>
  <si>
    <t>Slope (s_i = Δh / L_i)</t>
  </si>
  <si>
    <t>Role</t>
  </si>
  <si>
    <t>A → B</t>
  </si>
  <si>
    <t>Initial rise</t>
  </si>
  <si>
    <t>B → C</t>
  </si>
  <si>
    <t>Drop</t>
  </si>
  <si>
    <t>C → W′</t>
  </si>
  <si>
    <t>Climb (below waterline)</t>
  </si>
  <si>
    <t>W′ → D</t>
  </si>
  <si>
    <t>Climb (above waterline)</t>
  </si>
  <si>
    <t>D → W</t>
  </si>
  <si>
    <t>Descent to waterline</t>
  </si>
  <si>
    <t>W → E</t>
  </si>
  <si>
    <t>Descent to outlet</t>
  </si>
  <si>
    <t>Total pipe length:</t>
  </si>
  <si>
    <t>Cumulative Arclengths</t>
  </si>
  <si>
    <t>Symbol</t>
  </si>
  <si>
    <t>Value (cm)</t>
  </si>
  <si>
    <t>Location</t>
  </si>
  <si>
    <t>S₀</t>
  </si>
  <si>
    <t>Point A (inlet)</t>
  </si>
  <si>
    <t>S₁</t>
  </si>
  <si>
    <t>Point B (first crest)</t>
  </si>
  <si>
    <t>S₂</t>
  </si>
  <si>
    <t>Point C (low point)</t>
  </si>
  <si>
    <t>S_W'</t>
  </si>
  <si>
    <t>Point W' (waterline crossing on C→D)</t>
  </si>
  <si>
    <t>S₃</t>
  </si>
  <si>
    <t>Point D (main crest)</t>
  </si>
  <si>
    <t>S_W</t>
  </si>
  <si>
    <t>Point W (last waterline crossing on D→E)</t>
  </si>
  <si>
    <t>S₄</t>
  </si>
  <si>
    <t>Point E (outlet)</t>
  </si>
  <si>
    <t>Pipe Parameters</t>
  </si>
  <si>
    <t>Parameter</t>
  </si>
  <si>
    <t>Value</t>
  </si>
  <si>
    <t>5mm</t>
  </si>
  <si>
    <t>A = πD^2/4</t>
  </si>
  <si>
    <t>L_biased(cm)</t>
  </si>
  <si>
    <t>ε/D</t>
  </si>
  <si>
    <t>0.00035</t>
  </si>
  <si>
    <t>Σk</t>
  </si>
  <si>
    <t>system parameters</t>
  </si>
  <si>
    <t>A_0</t>
  </si>
  <si>
    <t>340 cm^2</t>
  </si>
  <si>
    <t>A/A_0</t>
  </si>
  <si>
    <t>0.2 cm^2</t>
  </si>
  <si>
    <t>0.0006</t>
  </si>
  <si>
    <t>ρ</t>
  </si>
  <si>
    <t>μ</t>
  </si>
  <si>
    <t>ν</t>
  </si>
  <si>
    <t>γ</t>
  </si>
  <si>
    <t>g</t>
  </si>
  <si>
    <t>0.073 N/m</t>
  </si>
  <si>
    <t>9.81 m/s^2</t>
  </si>
  <si>
    <t>10^(-6) m^2/s</t>
  </si>
  <si>
    <t>10^(-3) Pa</t>
  </si>
  <si>
    <t>998 kg/m^3</t>
  </si>
  <si>
    <t>17 degrees celcius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</si>
</sst>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</font>
    <font>
      <b/>
      <sz val="14"/>
      <name val="Calibri"/>
      <family val="2"/>
      <charset val="161"/>
    </font>
    <font>
      <b/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3" fillId="2" borderId="0" xfId="0" applyFont="1" applyFill="1"/>
    <xf numFmtId="0" fontId="3" fillId="0" borderId="0" xfId="0" applyFont="1"/>
    <xf numFmtId="0" fontId="0" fillId="0" borderId="0" xfId="0" quotePrefix="1"/>
    <xf numFmtId="0" fontId="0" fillId="0" borderId="0" xfId="0"/>
    <xf numFmtId="0" fontId="2" fillId="0" borderId="0" xfId="0" applyFon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workbookViewId="0">
      <selection activeCell="E2" sqref="E2"/>
    </sheetView>
  </sheetViews>
  <sheetFormatPr defaultRowHeight="14.4" x14ac:dyDescent="0.3"/>
  <cols>
    <col min="1" max="3" width="12" customWidth="1"/>
    <col min="4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65</v>
      </c>
    </row>
    <row r="2" spans="1:4" x14ac:dyDescent="0.3">
      <c r="A2">
        <v>0.433</v>
      </c>
      <c r="C2">
        <v>18.899999999999999</v>
      </c>
      <c r="D2" s="2">
        <f>C2*(49.4/43.1)^(((ROW(C2)-2)/59))</f>
        <v>18.899999999999999</v>
      </c>
    </row>
    <row r="3" spans="1:4" x14ac:dyDescent="0.3">
      <c r="A3">
        <v>0.46700000000000003</v>
      </c>
      <c r="B3">
        <v>14.8</v>
      </c>
      <c r="C3" s="2">
        <f t="shared" ref="C3:C34" si="0">C2 + (B3+B2)*(A3-A2)/2</f>
        <v>19.151599999999998</v>
      </c>
      <c r="D3" s="2">
        <f t="shared" ref="D3:D61" si="1">C3*(49.4/43.1)^(((ROW(C3)-2)/59))</f>
        <v>19.195936045310166</v>
      </c>
    </row>
    <row r="4" spans="1:4" x14ac:dyDescent="0.3">
      <c r="A4">
        <v>0.5</v>
      </c>
      <c r="B4">
        <v>14</v>
      </c>
      <c r="C4" s="2">
        <f t="shared" si="0"/>
        <v>19.626799999999999</v>
      </c>
      <c r="D4" s="2">
        <f t="shared" si="1"/>
        <v>19.717777456022102</v>
      </c>
    </row>
    <row r="5" spans="1:4" x14ac:dyDescent="0.3">
      <c r="A5">
        <v>0.53300000000000003</v>
      </c>
      <c r="B5">
        <v>13</v>
      </c>
      <c r="C5" s="2">
        <f t="shared" si="0"/>
        <v>20.072299999999998</v>
      </c>
      <c r="D5" s="2">
        <f t="shared" si="1"/>
        <v>20.21202537687536</v>
      </c>
    </row>
    <row r="6" spans="1:4" x14ac:dyDescent="0.3">
      <c r="A6">
        <v>0.56699999999999995</v>
      </c>
      <c r="B6">
        <v>13.1</v>
      </c>
      <c r="C6" s="2">
        <f t="shared" si="0"/>
        <v>20.515999999999998</v>
      </c>
      <c r="D6" s="2">
        <f t="shared" si="1"/>
        <v>20.706639271870344</v>
      </c>
    </row>
    <row r="7" spans="1:4" x14ac:dyDescent="0.3">
      <c r="A7">
        <v>0.6</v>
      </c>
      <c r="B7">
        <v>16.5</v>
      </c>
      <c r="C7" s="2">
        <f t="shared" si="0"/>
        <v>21.0044</v>
      </c>
      <c r="D7" s="2">
        <f t="shared" si="1"/>
        <v>21.24865471737893</v>
      </c>
    </row>
    <row r="8" spans="1:4" x14ac:dyDescent="0.3">
      <c r="A8">
        <v>0.63300000000000001</v>
      </c>
      <c r="B8">
        <v>19.5</v>
      </c>
      <c r="C8" s="2">
        <f t="shared" si="0"/>
        <v>21.598400000000002</v>
      </c>
      <c r="D8" s="2">
        <f t="shared" si="1"/>
        <v>21.900144029889336</v>
      </c>
    </row>
    <row r="9" spans="1:4" x14ac:dyDescent="0.3">
      <c r="A9">
        <v>0.66700000000000004</v>
      </c>
      <c r="B9">
        <v>19.899999999999999</v>
      </c>
      <c r="C9" s="2">
        <f t="shared" si="0"/>
        <v>22.268200000000004</v>
      </c>
      <c r="D9" s="2">
        <f t="shared" si="1"/>
        <v>22.631572772708815</v>
      </c>
    </row>
    <row r="10" spans="1:4" x14ac:dyDescent="0.3">
      <c r="A10">
        <v>0.7</v>
      </c>
      <c r="B10">
        <v>16.899999999999999</v>
      </c>
      <c r="C10" s="2">
        <f t="shared" si="0"/>
        <v>22.875400000000003</v>
      </c>
      <c r="D10" s="2">
        <f t="shared" si="1"/>
        <v>23.302501877604342</v>
      </c>
    </row>
    <row r="11" spans="1:4" x14ac:dyDescent="0.3">
      <c r="A11">
        <v>0.73299999999999998</v>
      </c>
      <c r="B11">
        <v>15.9</v>
      </c>
      <c r="C11" s="2">
        <f t="shared" si="0"/>
        <v>23.416600000000003</v>
      </c>
      <c r="D11" s="2">
        <f t="shared" si="1"/>
        <v>23.909028187037862</v>
      </c>
    </row>
    <row r="12" spans="1:4" x14ac:dyDescent="0.3">
      <c r="A12">
        <v>0.76700000000000002</v>
      </c>
      <c r="B12">
        <v>16.600000000000001</v>
      </c>
      <c r="C12" s="2">
        <f t="shared" si="0"/>
        <v>23.969100000000005</v>
      </c>
      <c r="D12" s="2">
        <f t="shared" si="1"/>
        <v>24.529802172810282</v>
      </c>
    </row>
    <row r="13" spans="1:4" x14ac:dyDescent="0.3">
      <c r="A13">
        <v>0.8</v>
      </c>
      <c r="B13">
        <v>17.100000000000001</v>
      </c>
      <c r="C13" s="2">
        <f t="shared" si="0"/>
        <v>24.525150000000004</v>
      </c>
      <c r="D13" s="2">
        <f t="shared" si="1"/>
        <v>25.156963668296996</v>
      </c>
    </row>
    <row r="14" spans="1:4" x14ac:dyDescent="0.3">
      <c r="A14">
        <v>0.83299999999999996</v>
      </c>
      <c r="B14">
        <v>17.100000000000001</v>
      </c>
      <c r="C14" s="2">
        <f t="shared" si="0"/>
        <v>25.089450000000003</v>
      </c>
      <c r="D14" s="2">
        <f t="shared" si="1"/>
        <v>25.795379592435477</v>
      </c>
    </row>
    <row r="15" spans="1:4" x14ac:dyDescent="0.3">
      <c r="A15">
        <v>0.86699999999999999</v>
      </c>
      <c r="B15">
        <v>15.8</v>
      </c>
      <c r="C15" s="2">
        <f t="shared" si="0"/>
        <v>25.648750000000003</v>
      </c>
      <c r="D15" s="2">
        <f t="shared" si="1"/>
        <v>26.431463982745466</v>
      </c>
    </row>
    <row r="16" spans="1:4" x14ac:dyDescent="0.3">
      <c r="A16">
        <v>0.9</v>
      </c>
      <c r="B16">
        <v>14.2</v>
      </c>
      <c r="C16" s="2">
        <f t="shared" si="0"/>
        <v>26.143750000000004</v>
      </c>
      <c r="D16" s="2">
        <f t="shared" si="1"/>
        <v>27.003939587942906</v>
      </c>
    </row>
    <row r="17" spans="1:4" x14ac:dyDescent="0.3">
      <c r="A17">
        <v>0.93300000000000005</v>
      </c>
      <c r="B17">
        <v>13.5</v>
      </c>
      <c r="C17" s="2">
        <f t="shared" si="0"/>
        <v>26.600800000000003</v>
      </c>
      <c r="D17" s="2">
        <f t="shared" si="1"/>
        <v>27.539634720456675</v>
      </c>
    </row>
    <row r="18" spans="1:4" x14ac:dyDescent="0.3">
      <c r="A18">
        <v>0.96699999999999997</v>
      </c>
      <c r="B18">
        <v>12.8</v>
      </c>
      <c r="C18" s="2">
        <f t="shared" si="0"/>
        <v>27.047900000000002</v>
      </c>
      <c r="D18" s="2">
        <f t="shared" si="1"/>
        <v>28.06734038840478</v>
      </c>
    </row>
    <row r="19" spans="1:4" x14ac:dyDescent="0.3">
      <c r="A19">
        <v>1</v>
      </c>
      <c r="B19">
        <v>10.7</v>
      </c>
      <c r="C19" s="2">
        <f t="shared" si="0"/>
        <v>27.435650000000003</v>
      </c>
      <c r="D19" s="2">
        <f t="shared" si="1"/>
        <v>28.535612260371067</v>
      </c>
    </row>
    <row r="20" spans="1:4" x14ac:dyDescent="0.3">
      <c r="A20">
        <v>1.2330000000000001</v>
      </c>
      <c r="B20">
        <v>5.9</v>
      </c>
      <c r="C20" s="2">
        <f t="shared" si="0"/>
        <v>29.369550000000004</v>
      </c>
      <c r="D20" s="2">
        <f t="shared" si="1"/>
        <v>30.617763597295532</v>
      </c>
    </row>
    <row r="21" spans="1:4" x14ac:dyDescent="0.3">
      <c r="A21">
        <v>1.2669999999999999</v>
      </c>
      <c r="B21">
        <v>5</v>
      </c>
      <c r="C21" s="2">
        <f t="shared" si="0"/>
        <v>29.554850000000002</v>
      </c>
      <c r="D21" s="2">
        <f t="shared" si="1"/>
        <v>30.882266366460811</v>
      </c>
    </row>
    <row r="22" spans="1:4" x14ac:dyDescent="0.3">
      <c r="A22">
        <v>1.367</v>
      </c>
      <c r="B22">
        <v>4.8</v>
      </c>
      <c r="C22" s="2">
        <f t="shared" si="0"/>
        <v>30.044850000000004</v>
      </c>
      <c r="D22" s="2">
        <f t="shared" si="1"/>
        <v>31.46695195203225</v>
      </c>
    </row>
    <row r="23" spans="1:4" x14ac:dyDescent="0.3">
      <c r="A23">
        <v>1.4330000000000001</v>
      </c>
      <c r="B23">
        <v>4.5</v>
      </c>
      <c r="C23" s="2">
        <f t="shared" si="0"/>
        <v>30.351750000000003</v>
      </c>
      <c r="D23" s="2">
        <f t="shared" si="1"/>
        <v>31.861968585466286</v>
      </c>
    </row>
    <row r="24" spans="1:4" x14ac:dyDescent="0.3">
      <c r="A24">
        <v>1.4670000000000001</v>
      </c>
      <c r="B24">
        <v>4.3</v>
      </c>
      <c r="C24" s="2">
        <f t="shared" si="0"/>
        <v>30.501350000000002</v>
      </c>
      <c r="D24" s="2">
        <f t="shared" si="1"/>
        <v>32.093136431055584</v>
      </c>
    </row>
    <row r="25" spans="1:4" x14ac:dyDescent="0.3">
      <c r="A25">
        <v>1.5329999999999999</v>
      </c>
      <c r="B25">
        <v>4.0999999999999996</v>
      </c>
      <c r="C25" s="2">
        <f t="shared" si="0"/>
        <v>30.778550000000003</v>
      </c>
      <c r="D25" s="2">
        <f t="shared" si="1"/>
        <v>32.459773753703239</v>
      </c>
    </row>
    <row r="26" spans="1:4" x14ac:dyDescent="0.3">
      <c r="A26">
        <v>1.5669999999999999</v>
      </c>
      <c r="B26">
        <v>3.6</v>
      </c>
      <c r="C26" s="2">
        <f t="shared" si="0"/>
        <v>30.909450000000003</v>
      </c>
      <c r="D26" s="2">
        <f t="shared" si="1"/>
        <v>32.673288052072778</v>
      </c>
    </row>
    <row r="27" spans="1:4" x14ac:dyDescent="0.3">
      <c r="A27">
        <v>1.6</v>
      </c>
      <c r="B27">
        <v>3.2</v>
      </c>
      <c r="C27" s="2">
        <f t="shared" si="0"/>
        <v>31.021650000000005</v>
      </c>
      <c r="D27" s="2">
        <f t="shared" si="1"/>
        <v>32.867804093154973</v>
      </c>
    </row>
    <row r="28" spans="1:4" x14ac:dyDescent="0.3">
      <c r="A28">
        <v>1.667</v>
      </c>
      <c r="B28">
        <v>2.9</v>
      </c>
      <c r="C28" s="2">
        <f t="shared" si="0"/>
        <v>31.226000000000006</v>
      </c>
      <c r="D28" s="2">
        <f t="shared" si="1"/>
        <v>33.160905676304061</v>
      </c>
    </row>
    <row r="29" spans="1:4" x14ac:dyDescent="0.3">
      <c r="A29">
        <v>1.7</v>
      </c>
      <c r="B29">
        <v>3</v>
      </c>
      <c r="C29" s="2">
        <f t="shared" si="0"/>
        <v>31.323350000000005</v>
      </c>
      <c r="D29" s="2">
        <f t="shared" si="1"/>
        <v>33.341294912383191</v>
      </c>
    </row>
    <row r="30" spans="1:4" x14ac:dyDescent="0.3">
      <c r="A30">
        <v>1.7330000000000001</v>
      </c>
      <c r="B30">
        <v>3.2</v>
      </c>
      <c r="C30" s="2">
        <f t="shared" si="0"/>
        <v>31.425650000000005</v>
      </c>
      <c r="D30" s="2">
        <f t="shared" si="1"/>
        <v>33.527622726339573</v>
      </c>
    </row>
    <row r="31" spans="1:4" x14ac:dyDescent="0.3">
      <c r="A31">
        <v>1.8</v>
      </c>
      <c r="B31">
        <v>3.1</v>
      </c>
      <c r="C31" s="2">
        <f t="shared" si="0"/>
        <v>31.636700000000005</v>
      </c>
      <c r="D31" s="2">
        <f t="shared" si="1"/>
        <v>33.830927131183479</v>
      </c>
    </row>
    <row r="32" spans="1:4" x14ac:dyDescent="0.3">
      <c r="A32">
        <v>1.867</v>
      </c>
      <c r="B32">
        <v>3.7</v>
      </c>
      <c r="C32" s="2">
        <f t="shared" si="0"/>
        <v>31.864500000000003</v>
      </c>
      <c r="D32" s="2">
        <f t="shared" si="1"/>
        <v>34.153409351270597</v>
      </c>
    </row>
    <row r="33" spans="1:4" x14ac:dyDescent="0.3">
      <c r="A33">
        <v>1.9</v>
      </c>
      <c r="B33">
        <v>3.6</v>
      </c>
      <c r="C33" s="2">
        <f t="shared" si="0"/>
        <v>31.984950000000001</v>
      </c>
      <c r="D33" s="2">
        <f t="shared" si="1"/>
        <v>34.361875763703864</v>
      </c>
    </row>
    <row r="34" spans="1:4" x14ac:dyDescent="0.3">
      <c r="A34">
        <v>1.9330000000000001</v>
      </c>
      <c r="B34">
        <v>3.3</v>
      </c>
      <c r="C34" s="2">
        <f t="shared" si="0"/>
        <v>32.098800000000004</v>
      </c>
      <c r="D34" s="2">
        <f t="shared" si="1"/>
        <v>34.564017454966091</v>
      </c>
    </row>
    <row r="35" spans="1:4" x14ac:dyDescent="0.3">
      <c r="A35">
        <v>1.9670000000000001</v>
      </c>
      <c r="B35">
        <v>3.4</v>
      </c>
      <c r="C35" s="2">
        <f t="shared" ref="C35:C61" si="2">C34 + (B35+B34)*(A35-A34)/2</f>
        <v>32.212700000000005</v>
      </c>
      <c r="D35" s="2">
        <f t="shared" si="1"/>
        <v>34.766964875090309</v>
      </c>
    </row>
    <row r="36" spans="1:4" x14ac:dyDescent="0.3">
      <c r="A36">
        <v>2</v>
      </c>
      <c r="B36">
        <v>3.2</v>
      </c>
      <c r="C36" s="2">
        <f t="shared" si="2"/>
        <v>32.321600000000004</v>
      </c>
      <c r="D36" s="2">
        <f t="shared" si="1"/>
        <v>34.965257745135467</v>
      </c>
    </row>
    <row r="37" spans="1:4" x14ac:dyDescent="0.3">
      <c r="A37">
        <v>2.0329999999999999</v>
      </c>
      <c r="B37">
        <v>3.8</v>
      </c>
      <c r="C37" s="2">
        <f t="shared" si="2"/>
        <v>32.437100000000001</v>
      </c>
      <c r="D37" s="2">
        <f t="shared" si="1"/>
        <v>35.171438746170637</v>
      </c>
    </row>
    <row r="38" spans="1:4" x14ac:dyDescent="0.3">
      <c r="A38">
        <v>2.133</v>
      </c>
      <c r="B38">
        <v>4.4000000000000004</v>
      </c>
      <c r="C38" s="2">
        <f t="shared" si="2"/>
        <v>32.847100000000005</v>
      </c>
      <c r="D38" s="2">
        <f t="shared" si="1"/>
        <v>35.698451581827278</v>
      </c>
    </row>
    <row r="39" spans="1:4" x14ac:dyDescent="0.3">
      <c r="A39">
        <v>2.1669999999999998</v>
      </c>
      <c r="B39">
        <v>4.9000000000000004</v>
      </c>
      <c r="C39" s="2">
        <f t="shared" si="2"/>
        <v>33.005200000000002</v>
      </c>
      <c r="D39" s="2">
        <f t="shared" si="1"/>
        <v>35.953315595976974</v>
      </c>
    </row>
    <row r="40" spans="1:4" x14ac:dyDescent="0.3">
      <c r="A40">
        <v>2.2330000000000001</v>
      </c>
      <c r="B40">
        <v>5.5</v>
      </c>
      <c r="C40" s="2">
        <f t="shared" si="2"/>
        <v>33.348400000000005</v>
      </c>
      <c r="D40" s="2">
        <f t="shared" si="1"/>
        <v>36.411268742052322</v>
      </c>
    </row>
    <row r="41" spans="1:4" x14ac:dyDescent="0.3">
      <c r="A41">
        <v>2.2669999999999999</v>
      </c>
      <c r="B41">
        <v>5.8</v>
      </c>
      <c r="C41" s="2">
        <f t="shared" si="2"/>
        <v>33.540500000000002</v>
      </c>
      <c r="D41" s="2">
        <f t="shared" si="1"/>
        <v>36.705789897388961</v>
      </c>
    </row>
    <row r="42" spans="1:4" x14ac:dyDescent="0.3">
      <c r="A42">
        <v>2.5329999999999999</v>
      </c>
      <c r="B42">
        <v>6.2</v>
      </c>
      <c r="C42" s="2">
        <f t="shared" si="2"/>
        <v>35.136499999999998</v>
      </c>
      <c r="D42" s="2">
        <f t="shared" si="1"/>
        <v>38.541425394461143</v>
      </c>
    </row>
    <row r="43" spans="1:4" x14ac:dyDescent="0.3">
      <c r="A43">
        <v>2.5670000000000002</v>
      </c>
      <c r="B43">
        <v>7.1</v>
      </c>
      <c r="C43" s="2">
        <f t="shared" si="2"/>
        <v>35.3626</v>
      </c>
      <c r="D43" s="2">
        <f t="shared" si="1"/>
        <v>38.879233490803472</v>
      </c>
    </row>
    <row r="44" spans="1:4" x14ac:dyDescent="0.3">
      <c r="A44">
        <v>2.6</v>
      </c>
      <c r="B44">
        <v>7.6</v>
      </c>
      <c r="C44" s="2">
        <f t="shared" si="2"/>
        <v>35.605150000000002</v>
      </c>
      <c r="D44" s="2">
        <f t="shared" si="1"/>
        <v>39.236526827833472</v>
      </c>
    </row>
    <row r="45" spans="1:4" x14ac:dyDescent="0.3">
      <c r="A45">
        <v>2.633</v>
      </c>
      <c r="B45">
        <v>8.3000000000000007</v>
      </c>
      <c r="C45" s="2">
        <f t="shared" si="2"/>
        <v>35.8675</v>
      </c>
      <c r="D45" s="2">
        <f t="shared" si="1"/>
        <v>39.617135991246819</v>
      </c>
    </row>
    <row r="46" spans="1:4" x14ac:dyDescent="0.3">
      <c r="A46">
        <v>2.6669999999999998</v>
      </c>
      <c r="B46">
        <v>8.6</v>
      </c>
      <c r="C46" s="2">
        <f t="shared" si="2"/>
        <v>36.154799999999994</v>
      </c>
      <c r="D46" s="2">
        <f t="shared" si="1"/>
        <v>40.026919204154837</v>
      </c>
    </row>
    <row r="47" spans="1:4" x14ac:dyDescent="0.3">
      <c r="A47">
        <v>2.7</v>
      </c>
      <c r="B47">
        <v>8.6999999999999993</v>
      </c>
      <c r="C47" s="2">
        <f t="shared" si="2"/>
        <v>36.440249999999999</v>
      </c>
      <c r="D47" s="2">
        <f t="shared" si="1"/>
        <v>40.436334525854527</v>
      </c>
    </row>
    <row r="48" spans="1:4" x14ac:dyDescent="0.3">
      <c r="A48">
        <v>2.7330000000000001</v>
      </c>
      <c r="B48">
        <v>8.8000000000000007</v>
      </c>
      <c r="C48" s="2">
        <f t="shared" si="2"/>
        <v>36.728999999999999</v>
      </c>
      <c r="D48" s="2">
        <f t="shared" si="1"/>
        <v>40.85110128975294</v>
      </c>
    </row>
    <row r="49" spans="1:4" x14ac:dyDescent="0.3">
      <c r="A49">
        <v>2.7669999999999999</v>
      </c>
      <c r="B49">
        <v>9.4</v>
      </c>
      <c r="C49" s="2">
        <f t="shared" si="2"/>
        <v>37.038399999999996</v>
      </c>
      <c r="D49" s="2">
        <f t="shared" si="1"/>
        <v>41.290592442069169</v>
      </c>
    </row>
    <row r="50" spans="1:4" x14ac:dyDescent="0.3">
      <c r="A50">
        <v>2.8</v>
      </c>
      <c r="B50">
        <v>10.199999999999999</v>
      </c>
      <c r="C50" s="2">
        <f t="shared" si="2"/>
        <v>37.361799999999995</v>
      </c>
      <c r="D50" s="2">
        <f t="shared" si="1"/>
        <v>41.747542911965418</v>
      </c>
    </row>
    <row r="51" spans="1:4" x14ac:dyDescent="0.3">
      <c r="A51">
        <v>2.8330000000000002</v>
      </c>
      <c r="B51">
        <v>10.7</v>
      </c>
      <c r="C51" s="2">
        <f t="shared" si="2"/>
        <v>37.706649999999996</v>
      </c>
      <c r="D51" s="2">
        <f t="shared" si="1"/>
        <v>42.230411190603036</v>
      </c>
    </row>
    <row r="52" spans="1:4" x14ac:dyDescent="0.3">
      <c r="A52">
        <v>2.867</v>
      </c>
      <c r="B52">
        <v>10.9</v>
      </c>
      <c r="C52" s="2">
        <f t="shared" si="2"/>
        <v>38.073849999999993</v>
      </c>
      <c r="D52" s="2">
        <f t="shared" si="1"/>
        <v>42.740380751802739</v>
      </c>
    </row>
    <row r="53" spans="1:4" x14ac:dyDescent="0.3">
      <c r="A53">
        <v>2.9</v>
      </c>
      <c r="B53">
        <v>10.8</v>
      </c>
      <c r="C53" s="2">
        <f t="shared" si="2"/>
        <v>38.431899999999992</v>
      </c>
      <c r="D53" s="2">
        <f t="shared" si="1"/>
        <v>43.242189903227988</v>
      </c>
    </row>
    <row r="54" spans="1:4" x14ac:dyDescent="0.3">
      <c r="A54">
        <v>2.9329999999999998</v>
      </c>
      <c r="B54">
        <v>11.1</v>
      </c>
      <c r="C54" s="2">
        <f t="shared" si="2"/>
        <v>38.793249999999993</v>
      </c>
      <c r="D54" s="2">
        <f t="shared" si="1"/>
        <v>43.749815016420037</v>
      </c>
    </row>
    <row r="55" spans="1:4" x14ac:dyDescent="0.3">
      <c r="A55">
        <v>2.9670000000000001</v>
      </c>
      <c r="B55">
        <v>11.7</v>
      </c>
      <c r="C55" s="2">
        <f t="shared" si="2"/>
        <v>39.18085</v>
      </c>
      <c r="D55" s="2">
        <f t="shared" si="1"/>
        <v>44.289231156042575</v>
      </c>
    </row>
    <row r="56" spans="1:4" x14ac:dyDescent="0.3">
      <c r="A56">
        <v>3</v>
      </c>
      <c r="B56">
        <v>12.9</v>
      </c>
      <c r="C56" s="2">
        <f t="shared" si="2"/>
        <v>39.586749999999995</v>
      </c>
      <c r="D56" s="2">
        <f t="shared" si="1"/>
        <v>44.851644165091159</v>
      </c>
    </row>
    <row r="57" spans="1:4" x14ac:dyDescent="0.3">
      <c r="A57">
        <v>3.0329999999999999</v>
      </c>
      <c r="B57">
        <v>13.5</v>
      </c>
      <c r="C57" s="2">
        <f t="shared" si="2"/>
        <v>40.022349999999996</v>
      </c>
      <c r="D57" s="2">
        <f t="shared" si="1"/>
        <v>45.450151686969868</v>
      </c>
    </row>
    <row r="58" spans="1:4" x14ac:dyDescent="0.3">
      <c r="A58">
        <v>3.0670000000000002</v>
      </c>
      <c r="B58">
        <v>13.9</v>
      </c>
      <c r="C58" s="2">
        <f t="shared" si="2"/>
        <v>40.488149999999997</v>
      </c>
      <c r="D58" s="2">
        <f t="shared" si="1"/>
        <v>46.085565029852624</v>
      </c>
    </row>
    <row r="59" spans="1:4" x14ac:dyDescent="0.3">
      <c r="A59">
        <v>3.2</v>
      </c>
      <c r="B59">
        <v>14.7</v>
      </c>
      <c r="C59" s="2">
        <f t="shared" si="2"/>
        <v>42.390049999999995</v>
      </c>
      <c r="D59" s="2">
        <f t="shared" si="1"/>
        <v>48.362099240950542</v>
      </c>
    </row>
    <row r="60" spans="1:4" x14ac:dyDescent="0.3">
      <c r="A60">
        <v>3.2330000000000001</v>
      </c>
      <c r="B60">
        <v>14.8</v>
      </c>
      <c r="C60" s="2">
        <f t="shared" si="2"/>
        <v>42.876799999999996</v>
      </c>
      <c r="D60" s="2">
        <f t="shared" si="1"/>
        <v>49.030668247199664</v>
      </c>
    </row>
    <row r="61" spans="1:4" x14ac:dyDescent="0.3">
      <c r="A61">
        <v>3.2669999999999999</v>
      </c>
      <c r="C61" s="2">
        <f t="shared" si="2"/>
        <v>43.128399999999992</v>
      </c>
      <c r="D61" s="2">
        <f t="shared" si="1"/>
        <v>49.432551276102082</v>
      </c>
    </row>
    <row r="64" spans="1:4" x14ac:dyDescent="0.3">
      <c r="A64" s="6"/>
      <c r="B64" s="6"/>
      <c r="C64" s="6"/>
      <c r="D64" s="6"/>
    </row>
    <row r="78" spans="1:4" x14ac:dyDescent="0.3">
      <c r="A78" s="6"/>
      <c r="B78" s="6"/>
      <c r="C78" s="6"/>
      <c r="D78" s="6"/>
    </row>
    <row r="91" spans="1:3" x14ac:dyDescent="0.3">
      <c r="A91" s="6"/>
      <c r="B91" s="6"/>
      <c r="C91" s="6"/>
    </row>
  </sheetData>
  <mergeCells count="3">
    <mergeCell ref="A64:D64"/>
    <mergeCell ref="A78:D78"/>
    <mergeCell ref="A91:C9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"/>
  <sheetViews>
    <sheetView tabSelected="1" topLeftCell="A33" workbookViewId="0">
      <selection activeCell="D55" sqref="D55"/>
    </sheetView>
  </sheetViews>
  <sheetFormatPr defaultRowHeight="14.4" x14ac:dyDescent="0.3"/>
  <cols>
    <col min="1" max="1" width="15" customWidth="1"/>
    <col min="2" max="2" width="20" customWidth="1"/>
    <col min="3" max="3" width="25" customWidth="1"/>
    <col min="4" max="4" width="40" customWidth="1"/>
  </cols>
  <sheetData>
    <row r="1" spans="1:4" ht="18" x14ac:dyDescent="0.35">
      <c r="A1" s="7" t="s">
        <v>3</v>
      </c>
      <c r="B1" s="6"/>
      <c r="C1" s="6"/>
      <c r="D1" s="6"/>
    </row>
    <row r="3" spans="1:4" x14ac:dyDescent="0.3">
      <c r="A3" s="3" t="s">
        <v>4</v>
      </c>
      <c r="B3" s="3" t="s">
        <v>5</v>
      </c>
      <c r="C3" s="3" t="s">
        <v>6</v>
      </c>
      <c r="D3" s="3" t="s">
        <v>7</v>
      </c>
    </row>
    <row r="4" spans="1:4" x14ac:dyDescent="0.3">
      <c r="A4" t="s">
        <v>8</v>
      </c>
      <c r="B4">
        <v>0</v>
      </c>
      <c r="C4">
        <v>1</v>
      </c>
      <c r="D4" t="s">
        <v>9</v>
      </c>
    </row>
    <row r="5" spans="1:4" x14ac:dyDescent="0.3">
      <c r="A5" t="s">
        <v>10</v>
      </c>
      <c r="B5">
        <v>7.5</v>
      </c>
      <c r="C5">
        <v>11</v>
      </c>
      <c r="D5" t="s">
        <v>11</v>
      </c>
    </row>
    <row r="6" spans="1:4" x14ac:dyDescent="0.3">
      <c r="A6" t="s">
        <v>12</v>
      </c>
      <c r="B6">
        <v>13.5</v>
      </c>
      <c r="C6">
        <v>5</v>
      </c>
      <c r="D6" t="s">
        <v>13</v>
      </c>
    </row>
    <row r="7" spans="1:4" x14ac:dyDescent="0.3">
      <c r="A7" t="s">
        <v>14</v>
      </c>
      <c r="B7">
        <v>20.9</v>
      </c>
      <c r="C7">
        <v>12.5</v>
      </c>
      <c r="D7" t="s">
        <v>15</v>
      </c>
    </row>
    <row r="8" spans="1:4" x14ac:dyDescent="0.3">
      <c r="A8" t="s">
        <v>16</v>
      </c>
      <c r="B8">
        <v>21.4</v>
      </c>
      <c r="C8">
        <v>13</v>
      </c>
      <c r="D8" t="s">
        <v>17</v>
      </c>
    </row>
    <row r="9" spans="1:4" x14ac:dyDescent="0.3">
      <c r="A9" t="s">
        <v>18</v>
      </c>
      <c r="B9">
        <v>21.7</v>
      </c>
      <c r="C9">
        <v>12.5</v>
      </c>
      <c r="D9" t="s">
        <v>19</v>
      </c>
    </row>
    <row r="10" spans="1:4" x14ac:dyDescent="0.3">
      <c r="A10" t="s">
        <v>20</v>
      </c>
      <c r="B10">
        <v>30.3</v>
      </c>
      <c r="C10">
        <v>-1.7</v>
      </c>
      <c r="D10" t="s">
        <v>21</v>
      </c>
    </row>
    <row r="12" spans="1:4" x14ac:dyDescent="0.3">
      <c r="A12" s="4" t="s">
        <v>22</v>
      </c>
      <c r="B12">
        <v>12.5</v>
      </c>
      <c r="C12" t="s">
        <v>23</v>
      </c>
    </row>
    <row r="15" spans="1:4" ht="18" x14ac:dyDescent="0.35">
      <c r="A15" s="7" t="s">
        <v>24</v>
      </c>
      <c r="B15" s="6"/>
      <c r="C15" s="6"/>
      <c r="D15" s="6"/>
    </row>
    <row r="17" spans="1:4" x14ac:dyDescent="0.3">
      <c r="A17" s="3" t="s">
        <v>25</v>
      </c>
      <c r="B17" s="3" t="s">
        <v>26</v>
      </c>
      <c r="C17" s="3" t="s">
        <v>27</v>
      </c>
      <c r="D17" s="3" t="s">
        <v>28</v>
      </c>
    </row>
    <row r="18" spans="1:4" x14ac:dyDescent="0.3">
      <c r="A18" t="s">
        <v>29</v>
      </c>
      <c r="B18">
        <v>12.5</v>
      </c>
      <c r="C18">
        <v>0.8</v>
      </c>
      <c r="D18" t="s">
        <v>30</v>
      </c>
    </row>
    <row r="19" spans="1:4" x14ac:dyDescent="0.3">
      <c r="A19" t="s">
        <v>31</v>
      </c>
      <c r="B19">
        <v>8.5</v>
      </c>
      <c r="C19">
        <v>-0.70599999999999996</v>
      </c>
      <c r="D19" t="s">
        <v>32</v>
      </c>
    </row>
    <row r="20" spans="1:4" x14ac:dyDescent="0.3">
      <c r="A20" t="s">
        <v>33</v>
      </c>
      <c r="B20">
        <v>10.5</v>
      </c>
      <c r="C20">
        <v>0.71399999999999997</v>
      </c>
      <c r="D20" t="s">
        <v>34</v>
      </c>
    </row>
    <row r="21" spans="1:4" x14ac:dyDescent="0.3">
      <c r="A21" t="s">
        <v>35</v>
      </c>
      <c r="B21">
        <v>0.7</v>
      </c>
      <c r="C21">
        <v>0.71399999999999997</v>
      </c>
      <c r="D21" t="s">
        <v>36</v>
      </c>
    </row>
    <row r="22" spans="1:4" x14ac:dyDescent="0.3">
      <c r="A22" t="s">
        <v>37</v>
      </c>
      <c r="B22">
        <v>0.6</v>
      </c>
      <c r="C22">
        <v>-0.85499999999999998</v>
      </c>
      <c r="D22" t="s">
        <v>38</v>
      </c>
    </row>
    <row r="23" spans="1:4" x14ac:dyDescent="0.3">
      <c r="A23" t="s">
        <v>39</v>
      </c>
      <c r="B23">
        <v>16.600000000000001</v>
      </c>
      <c r="C23">
        <v>-0.85499999999999998</v>
      </c>
      <c r="D23" t="s">
        <v>40</v>
      </c>
    </row>
    <row r="25" spans="1:4" x14ac:dyDescent="0.3">
      <c r="A25" s="4" t="s">
        <v>41</v>
      </c>
      <c r="B25">
        <v>49.4</v>
      </c>
      <c r="C25" t="s">
        <v>23</v>
      </c>
    </row>
    <row r="28" spans="1:4" ht="18" x14ac:dyDescent="0.35">
      <c r="A28" s="7" t="s">
        <v>42</v>
      </c>
      <c r="B28" s="6"/>
      <c r="C28" s="6"/>
    </row>
    <row r="30" spans="1:4" x14ac:dyDescent="0.3">
      <c r="A30" s="3" t="s">
        <v>43</v>
      </c>
      <c r="B30" s="3" t="s">
        <v>44</v>
      </c>
      <c r="C30" s="3" t="s">
        <v>45</v>
      </c>
    </row>
    <row r="31" spans="1:4" x14ac:dyDescent="0.3">
      <c r="A31" t="s">
        <v>46</v>
      </c>
      <c r="B31">
        <v>0</v>
      </c>
      <c r="C31" t="s">
        <v>47</v>
      </c>
    </row>
    <row r="32" spans="1:4" x14ac:dyDescent="0.3">
      <c r="A32" t="s">
        <v>48</v>
      </c>
      <c r="B32">
        <v>12.5</v>
      </c>
      <c r="C32" t="s">
        <v>49</v>
      </c>
    </row>
    <row r="33" spans="1:3" x14ac:dyDescent="0.3">
      <c r="A33" t="s">
        <v>50</v>
      </c>
      <c r="B33">
        <v>21</v>
      </c>
      <c r="C33" t="s">
        <v>51</v>
      </c>
    </row>
    <row r="34" spans="1:3" x14ac:dyDescent="0.3">
      <c r="A34" t="s">
        <v>52</v>
      </c>
      <c r="B34">
        <v>31.5</v>
      </c>
      <c r="C34" t="s">
        <v>53</v>
      </c>
    </row>
    <row r="35" spans="1:3" x14ac:dyDescent="0.3">
      <c r="A35" t="s">
        <v>54</v>
      </c>
      <c r="B35">
        <v>32.200000000000003</v>
      </c>
      <c r="C35" t="s">
        <v>55</v>
      </c>
    </row>
    <row r="36" spans="1:3" x14ac:dyDescent="0.3">
      <c r="A36" t="s">
        <v>56</v>
      </c>
      <c r="B36">
        <v>32.799999999999997</v>
      </c>
      <c r="C36" t="s">
        <v>57</v>
      </c>
    </row>
    <row r="37" spans="1:3" x14ac:dyDescent="0.3">
      <c r="A37" t="s">
        <v>58</v>
      </c>
      <c r="B37">
        <v>49.4</v>
      </c>
      <c r="C37" t="s">
        <v>59</v>
      </c>
    </row>
    <row r="39" spans="1:3" x14ac:dyDescent="0.3">
      <c r="A39" t="s">
        <v>60</v>
      </c>
    </row>
    <row r="41" spans="1:3" x14ac:dyDescent="0.3">
      <c r="A41" t="s">
        <v>61</v>
      </c>
      <c r="B41" t="s">
        <v>62</v>
      </c>
      <c r="C41" t="s">
        <v>7</v>
      </c>
    </row>
    <row r="42" spans="1:3" x14ac:dyDescent="0.3">
      <c r="A42" t="s">
        <v>16</v>
      </c>
      <c r="B42" t="s">
        <v>63</v>
      </c>
    </row>
    <row r="43" spans="1:3" x14ac:dyDescent="0.3">
      <c r="A43" t="s">
        <v>64</v>
      </c>
      <c r="B43" s="5" t="s">
        <v>73</v>
      </c>
    </row>
    <row r="44" spans="1:3" x14ac:dyDescent="0.3">
      <c r="A44" t="s">
        <v>66</v>
      </c>
      <c r="B44" t="s">
        <v>67</v>
      </c>
    </row>
    <row r="45" spans="1:3" x14ac:dyDescent="0.3">
      <c r="A45" t="s">
        <v>68</v>
      </c>
      <c r="B45">
        <v>4</v>
      </c>
    </row>
    <row r="47" spans="1:3" x14ac:dyDescent="0.3">
      <c r="A47" t="s">
        <v>69</v>
      </c>
    </row>
    <row r="48" spans="1:3" x14ac:dyDescent="0.3">
      <c r="A48" t="s">
        <v>70</v>
      </c>
      <c r="B48" t="s">
        <v>71</v>
      </c>
    </row>
    <row r="49" spans="1:2" x14ac:dyDescent="0.3">
      <c r="A49" t="s">
        <v>72</v>
      </c>
      <c r="B49" t="s">
        <v>74</v>
      </c>
    </row>
    <row r="50" spans="1:2" x14ac:dyDescent="0.3">
      <c r="A50" t="s">
        <v>75</v>
      </c>
      <c r="B50" t="s">
        <v>84</v>
      </c>
    </row>
    <row r="51" spans="1:2" x14ac:dyDescent="0.3">
      <c r="A51" t="s">
        <v>76</v>
      </c>
      <c r="B51" t="s">
        <v>83</v>
      </c>
    </row>
    <row r="52" spans="1:2" x14ac:dyDescent="0.3">
      <c r="A52" t="s">
        <v>77</v>
      </c>
      <c r="B52" t="s">
        <v>82</v>
      </c>
    </row>
    <row r="53" spans="1:2" x14ac:dyDescent="0.3">
      <c r="A53" t="s">
        <v>78</v>
      </c>
      <c r="B53" t="s">
        <v>80</v>
      </c>
    </row>
    <row r="54" spans="1:2" x14ac:dyDescent="0.3">
      <c r="A54" t="s">
        <v>79</v>
      </c>
      <c r="B54" t="s">
        <v>81</v>
      </c>
    </row>
    <row r="56" spans="1:2" x14ac:dyDescent="0.3">
      <c r="B56" t="s">
        <v>85</v>
      </c>
    </row>
  </sheetData>
  <mergeCells count="3">
    <mergeCell ref="A28:C28"/>
    <mergeCell ref="A1:D1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Data</vt:lpstr>
      <vt:lpstr>Geometry &amp; 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Stelios Raptopoulos</cp:lastModifiedBy>
  <dcterms:created xsi:type="dcterms:W3CDTF">2025-12-14T16:58:45Z</dcterms:created>
  <dcterms:modified xsi:type="dcterms:W3CDTF">2025-12-14T20:07:50Z</dcterms:modified>
</cp:coreProperties>
</file>