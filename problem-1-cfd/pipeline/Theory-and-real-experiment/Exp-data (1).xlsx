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YPT-8\"/>
    </mc:Choice>
  </mc:AlternateContent>
  <xr:revisionPtr revIDLastSave="0" documentId="13_ncr:9_{31E9A448-CB98-44AA-82D8-86D90234BFCF}" xr6:coauthVersionLast="47" xr6:coauthVersionMax="47" xr10:uidLastSave="{00000000-0000-0000-0000-000000000000}"/>
  <bookViews>
    <workbookView xWindow="1092" yWindow="1020" windowWidth="23040" windowHeight="12120" activeTab="1" xr2:uid="{B57AED44-80BD-4548-8FC9-D116D5E427CF}"/>
  </bookViews>
  <sheets>
    <sheet name="Notebook-17-26 (1)" sheetId="1" r:id="rId1"/>
    <sheet name="Φύλλο1" sheetId="2" r:id="rId2"/>
  </sheets>
  <calcPr calcId="0"/>
</workbook>
</file>

<file path=xl/calcChain.xml><?xml version="1.0" encoding="utf-8"?>
<calcChain xmlns="http://schemas.openxmlformats.org/spreadsheetml/2006/main">
  <c r="E39" i="1" l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</calcChain>
</file>

<file path=xl/sharedStrings.xml><?xml version="1.0" encoding="utf-8"?>
<sst xmlns="http://schemas.openxmlformats.org/spreadsheetml/2006/main" count="90" uniqueCount="87">
  <si>
    <t>#</t>
  </si>
  <si>
    <t>C</t>
  </si>
  <si>
    <t>L(cm)</t>
  </si>
  <si>
    <t>V(cm/s)</t>
  </si>
  <si>
    <t>t(s)</t>
  </si>
  <si>
    <t>L_biased</t>
  </si>
  <si>
    <t>Total pipe length:</t>
  </si>
  <si>
    <t>cm</t>
  </si>
  <si>
    <t>Cumulative Arclengths</t>
  </si>
  <si>
    <t>Symbol</t>
  </si>
  <si>
    <t>Value (cm)</t>
  </si>
  <si>
    <t>Location</t>
  </si>
  <si>
    <t>S₀</t>
  </si>
  <si>
    <t>Point A (inlet)</t>
  </si>
  <si>
    <t>S₁</t>
  </si>
  <si>
    <t>Point B (first crest)</t>
  </si>
  <si>
    <t>S₂</t>
  </si>
  <si>
    <t>Point C (low point)</t>
  </si>
  <si>
    <t>S_W'</t>
  </si>
  <si>
    <t>Point W' (waterline crossing on C→D)</t>
  </si>
  <si>
    <t>S₃</t>
  </si>
  <si>
    <t>Point D (main crest)</t>
  </si>
  <si>
    <t>S_W</t>
  </si>
  <si>
    <t>Point W (last waterline crossing on D→E)</t>
  </si>
  <si>
    <t>S₄</t>
  </si>
  <si>
    <t>Point E (outlet)</t>
  </si>
  <si>
    <t>Pipe Parameters</t>
  </si>
  <si>
    <t>Parameter</t>
  </si>
  <si>
    <t>Value</t>
  </si>
  <si>
    <t>Description</t>
  </si>
  <si>
    <t>D</t>
  </si>
  <si>
    <t>5mm</t>
  </si>
  <si>
    <t>A = πD^2/4</t>
  </si>
  <si>
    <t>0.2 cm^2</t>
  </si>
  <si>
    <t>ε/D</t>
  </si>
  <si>
    <t>0.00035</t>
  </si>
  <si>
    <t>Σk</t>
  </si>
  <si>
    <t>system parameters</t>
  </si>
  <si>
    <t>A_0</t>
  </si>
  <si>
    <t>340 cm^2</t>
  </si>
  <si>
    <t>A/A_0</t>
  </si>
  <si>
    <t>0.0006</t>
  </si>
  <si>
    <t>ρ</t>
  </si>
  <si>
    <t>998 kg/m^3</t>
  </si>
  <si>
    <t>μ</t>
  </si>
  <si>
    <t>10^(-3) Pa</t>
  </si>
  <si>
    <t>ν</t>
  </si>
  <si>
    <t>10^(-6) m^2/s</t>
  </si>
  <si>
    <t>γ</t>
  </si>
  <si>
    <t>0.073 N/m</t>
  </si>
  <si>
    <t>g</t>
  </si>
  <si>
    <t>9.81 m/s^2</t>
  </si>
  <si>
    <t>17 degrees celcius</t>
  </si>
  <si>
    <t>Geometric Parameters</t>
  </si>
  <si>
    <t>Node / Point</t>
  </si>
  <si>
    <t>x (cm)</t>
  </si>
  <si>
    <t>h (cm)</t>
  </si>
  <si>
    <t>A</t>
  </si>
  <si>
    <t>Inlet</t>
  </si>
  <si>
    <t>B</t>
  </si>
  <si>
    <t>First crest (below waterline)</t>
  </si>
  <si>
    <t>Low point</t>
  </si>
  <si>
    <t>W'</t>
  </si>
  <si>
    <t>Waterline crossing (ascending) on C→D</t>
  </si>
  <si>
    <t>Main crest (above waterline)</t>
  </si>
  <si>
    <t>W</t>
  </si>
  <si>
    <t>Waterline crossing (descending, last) on D→E</t>
  </si>
  <si>
    <t>E</t>
  </si>
  <si>
    <t>Outlet</t>
  </si>
  <si>
    <t>Initial water level (waterline):</t>
  </si>
  <si>
    <t>Segment Properties</t>
  </si>
  <si>
    <t>Segment</t>
  </si>
  <si>
    <t>Length (L_i) (cm)</t>
  </si>
  <si>
    <t>Slope (s_i = Δh / L_i)</t>
  </si>
  <si>
    <t>Role</t>
  </si>
  <si>
    <t>A → B</t>
  </si>
  <si>
    <t>Initial rise</t>
  </si>
  <si>
    <t>B → C</t>
  </si>
  <si>
    <t>Drop</t>
  </si>
  <si>
    <t>C → W′</t>
  </si>
  <si>
    <t>Climb (below waterline)</t>
  </si>
  <si>
    <t>W′ → D</t>
  </si>
  <si>
    <t>Climb (above waterline)</t>
  </si>
  <si>
    <t>D → W</t>
  </si>
  <si>
    <t>Descent to waterline</t>
  </si>
  <si>
    <t>W → E</t>
  </si>
  <si>
    <t>Descent to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</si>
</sst>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1"/>
      <name val="Calibri"/>
      <family val="2"/>
      <charset val="161"/>
    </font>
    <font>
      <b/>
      <sz val="14"/>
      <name val="Calibri"/>
      <family val="2"/>
      <charset val="16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/>
    <xf numFmtId="0" fontId="18" fillId="33" borderId="0" xfId="0" applyFont="1" applyFill="1"/>
    <xf numFmtId="0" fontId="0" fillId="0" borderId="0" xfId="0" quotePrefix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2A03-393C-4E3E-B349-12B49F85C750}">
  <dimension ref="A1:E39"/>
  <sheetViews>
    <sheetView topLeftCell="A16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5</v>
      </c>
    </row>
    <row r="2" spans="1:5" x14ac:dyDescent="0.3">
      <c r="A2">
        <v>1</v>
      </c>
      <c r="B2">
        <v>0.4</v>
      </c>
      <c r="D2">
        <v>19.3</v>
      </c>
      <c r="E2" s="1">
        <f>D2*(49.4/43.6)^(((ROW(D2)-2)/39))</f>
        <v>19.3</v>
      </c>
    </row>
    <row r="3" spans="1:5" x14ac:dyDescent="0.3">
      <c r="A3">
        <v>2</v>
      </c>
      <c r="B3">
        <v>0.433</v>
      </c>
      <c r="C3">
        <v>28.663</v>
      </c>
      <c r="D3" s="1">
        <f>D2 + (C3+C2)*(B3-B2)</f>
        <v>20.245878999999999</v>
      </c>
      <c r="E3" s="1">
        <f t="shared" ref="E3:E39" si="0">D3*(49.4/43.6)^(((ROW(D3)-2)/39))</f>
        <v>20.310818158402466</v>
      </c>
    </row>
    <row r="4" spans="1:5" x14ac:dyDescent="0.3">
      <c r="A4">
        <v>3</v>
      </c>
      <c r="B4">
        <v>0.46700000000000003</v>
      </c>
      <c r="C4">
        <v>26.173999999999999</v>
      </c>
      <c r="D4" s="1">
        <f t="shared" ref="D3:D39" si="1">D3 + (C4+C3)*(B4-B3)/2</f>
        <v>21.178107999999998</v>
      </c>
      <c r="E4" s="1">
        <f t="shared" si="0"/>
        <v>21.314184496956063</v>
      </c>
    </row>
    <row r="5" spans="1:5" x14ac:dyDescent="0.3">
      <c r="A5">
        <v>4</v>
      </c>
      <c r="B5">
        <v>0.5</v>
      </c>
      <c r="C5">
        <v>33.960999999999999</v>
      </c>
      <c r="D5" s="1">
        <f t="shared" si="1"/>
        <v>22.170335499999997</v>
      </c>
      <c r="E5" s="1">
        <f t="shared" si="0"/>
        <v>22.384356212050243</v>
      </c>
    </row>
    <row r="6" spans="1:5" x14ac:dyDescent="0.3">
      <c r="A6">
        <v>5</v>
      </c>
      <c r="B6">
        <v>0.53300000000000003</v>
      </c>
      <c r="C6">
        <v>36.622999999999998</v>
      </c>
      <c r="D6" s="1">
        <f t="shared" si="1"/>
        <v>23.334971499999998</v>
      </c>
      <c r="E6" s="1">
        <f t="shared" si="0"/>
        <v>23.635805030367468</v>
      </c>
    </row>
    <row r="7" spans="1:5" x14ac:dyDescent="0.3">
      <c r="A7">
        <v>6</v>
      </c>
      <c r="B7">
        <v>0.56699999999999995</v>
      </c>
      <c r="C7">
        <v>34.713999999999999</v>
      </c>
      <c r="D7" s="1">
        <f t="shared" si="1"/>
        <v>24.547700499999994</v>
      </c>
      <c r="E7" s="1">
        <f t="shared" si="0"/>
        <v>24.943920921031918</v>
      </c>
    </row>
    <row r="8" spans="1:5" x14ac:dyDescent="0.3">
      <c r="A8">
        <v>7</v>
      </c>
      <c r="B8">
        <v>0.63300000000000001</v>
      </c>
      <c r="C8">
        <v>27.087</v>
      </c>
      <c r="D8" s="1">
        <f t="shared" si="1"/>
        <v>26.587133499999997</v>
      </c>
      <c r="E8" s="1">
        <f t="shared" si="0"/>
        <v>27.102927437606922</v>
      </c>
    </row>
    <row r="9" spans="1:5" x14ac:dyDescent="0.3">
      <c r="A9">
        <v>8</v>
      </c>
      <c r="B9">
        <v>0.66700000000000004</v>
      </c>
      <c r="C9">
        <v>22.245000000000001</v>
      </c>
      <c r="D9" s="1">
        <f t="shared" si="1"/>
        <v>27.425777499999999</v>
      </c>
      <c r="E9" s="1">
        <f t="shared" si="0"/>
        <v>28.047516711443048</v>
      </c>
    </row>
    <row r="10" spans="1:5" x14ac:dyDescent="0.3">
      <c r="A10">
        <v>9</v>
      </c>
      <c r="B10">
        <v>0.7</v>
      </c>
      <c r="C10">
        <v>18.067</v>
      </c>
      <c r="D10" s="1">
        <f t="shared" si="1"/>
        <v>28.090925499999997</v>
      </c>
      <c r="E10" s="1">
        <f t="shared" si="0"/>
        <v>28.819888488873971</v>
      </c>
    </row>
    <row r="11" spans="1:5" x14ac:dyDescent="0.3">
      <c r="A11">
        <v>10</v>
      </c>
      <c r="B11">
        <v>0.73299999999999998</v>
      </c>
      <c r="C11">
        <v>14.906000000000001</v>
      </c>
      <c r="D11" s="1">
        <f t="shared" si="1"/>
        <v>28.634979999999999</v>
      </c>
      <c r="E11" s="1">
        <f t="shared" si="0"/>
        <v>29.472292129643979</v>
      </c>
    </row>
    <row r="12" spans="1:5" x14ac:dyDescent="0.3">
      <c r="A12">
        <v>11</v>
      </c>
      <c r="B12">
        <v>0.76700000000000002</v>
      </c>
      <c r="C12">
        <v>12.648</v>
      </c>
      <c r="D12" s="1">
        <f t="shared" si="1"/>
        <v>29.103397999999999</v>
      </c>
      <c r="E12" s="1">
        <f t="shared" si="0"/>
        <v>30.050486588791966</v>
      </c>
    </row>
    <row r="13" spans="1:5" x14ac:dyDescent="0.3">
      <c r="A13">
        <v>12</v>
      </c>
      <c r="B13">
        <v>0.8</v>
      </c>
      <c r="C13">
        <v>9.8840000000000003</v>
      </c>
      <c r="D13" s="1">
        <f t="shared" si="1"/>
        <v>29.475175999999998</v>
      </c>
      <c r="E13" s="1">
        <f t="shared" si="0"/>
        <v>30.53198203611305</v>
      </c>
    </row>
    <row r="14" spans="1:5" x14ac:dyDescent="0.3">
      <c r="A14">
        <v>13</v>
      </c>
      <c r="B14">
        <v>0.83299999999999996</v>
      </c>
      <c r="C14">
        <v>9.0009999999999994</v>
      </c>
      <c r="D14" s="1">
        <f t="shared" si="1"/>
        <v>29.786778499999997</v>
      </c>
      <c r="E14" s="1">
        <f t="shared" si="0"/>
        <v>30.953724161289323</v>
      </c>
    </row>
    <row r="15" spans="1:5" x14ac:dyDescent="0.3">
      <c r="A15">
        <v>14</v>
      </c>
      <c r="B15">
        <v>0.86699999999999999</v>
      </c>
      <c r="C15">
        <v>8.7270000000000003</v>
      </c>
      <c r="D15" s="1">
        <f t="shared" si="1"/>
        <v>30.088154499999998</v>
      </c>
      <c r="E15" s="1">
        <f t="shared" si="0"/>
        <v>31.367196436850271</v>
      </c>
    </row>
    <row r="16" spans="1:5" x14ac:dyDescent="0.3">
      <c r="A16">
        <v>15</v>
      </c>
      <c r="B16">
        <v>0.9</v>
      </c>
      <c r="C16">
        <v>8.2560000000000002</v>
      </c>
      <c r="D16" s="1">
        <f t="shared" si="1"/>
        <v>30.368373999999999</v>
      </c>
      <c r="E16" s="1">
        <f t="shared" si="0"/>
        <v>31.760876095315229</v>
      </c>
    </row>
    <row r="17" spans="1:5" x14ac:dyDescent="0.3">
      <c r="A17">
        <v>16</v>
      </c>
      <c r="B17">
        <v>0.93300000000000005</v>
      </c>
      <c r="C17">
        <v>6.8230000000000004</v>
      </c>
      <c r="D17" s="1">
        <f t="shared" si="1"/>
        <v>30.6171775</v>
      </c>
      <c r="E17" s="1">
        <f t="shared" si="0"/>
        <v>32.12379658804619</v>
      </c>
    </row>
    <row r="18" spans="1:5" x14ac:dyDescent="0.3">
      <c r="A18">
        <v>17</v>
      </c>
      <c r="B18">
        <v>0.96699999999999997</v>
      </c>
      <c r="C18">
        <v>6.6890000000000001</v>
      </c>
      <c r="D18" s="1">
        <f t="shared" si="1"/>
        <v>30.846881499999999</v>
      </c>
      <c r="E18" s="1">
        <f t="shared" si="0"/>
        <v>32.468614840445852</v>
      </c>
    </row>
    <row r="19" spans="1:5" x14ac:dyDescent="0.3">
      <c r="A19">
        <v>18</v>
      </c>
      <c r="B19">
        <v>1</v>
      </c>
      <c r="C19">
        <v>6.5179999999999998</v>
      </c>
      <c r="D19" s="1">
        <f t="shared" si="1"/>
        <v>31.064796999999999</v>
      </c>
      <c r="E19" s="1">
        <f t="shared" si="0"/>
        <v>32.802866558125594</v>
      </c>
    </row>
    <row r="20" spans="1:5" x14ac:dyDescent="0.3">
      <c r="A20">
        <v>19</v>
      </c>
      <c r="B20">
        <v>1.0329999999999999</v>
      </c>
      <c r="C20">
        <v>5.8780000000000001</v>
      </c>
      <c r="D20" s="1">
        <f t="shared" si="1"/>
        <v>31.269330999999998</v>
      </c>
      <c r="E20" s="1">
        <f t="shared" si="0"/>
        <v>33.124752957684301</v>
      </c>
    </row>
    <row r="21" spans="1:5" x14ac:dyDescent="0.3">
      <c r="A21">
        <v>20</v>
      </c>
      <c r="B21">
        <v>1.0669999999999999</v>
      </c>
      <c r="C21">
        <v>6.4459999999999997</v>
      </c>
      <c r="D21" s="1">
        <f t="shared" si="1"/>
        <v>31.478838999999997</v>
      </c>
      <c r="E21" s="1">
        <f t="shared" si="0"/>
        <v>33.453652833625334</v>
      </c>
    </row>
    <row r="22" spans="1:5" x14ac:dyDescent="0.3">
      <c r="A22">
        <v>21</v>
      </c>
      <c r="B22">
        <v>1.1000000000000001</v>
      </c>
      <c r="C22">
        <v>7.0149999999999997</v>
      </c>
      <c r="D22" s="1">
        <f t="shared" si="1"/>
        <v>31.7009455</v>
      </c>
      <c r="E22" s="1">
        <f t="shared" si="0"/>
        <v>33.79775363153</v>
      </c>
    </row>
    <row r="23" spans="1:5" x14ac:dyDescent="0.3">
      <c r="A23">
        <v>22</v>
      </c>
      <c r="B23">
        <v>1.133</v>
      </c>
      <c r="C23">
        <v>7.6950000000000003</v>
      </c>
      <c r="D23" s="1">
        <f t="shared" si="1"/>
        <v>31.9436605</v>
      </c>
      <c r="E23" s="1">
        <f t="shared" si="0"/>
        <v>34.165759765362836</v>
      </c>
    </row>
    <row r="24" spans="1:5" x14ac:dyDescent="0.3">
      <c r="A24">
        <v>23</v>
      </c>
      <c r="B24">
        <v>1.167</v>
      </c>
      <c r="C24">
        <v>7.8719999999999999</v>
      </c>
      <c r="D24" s="1">
        <f t="shared" si="1"/>
        <v>32.208299500000003</v>
      </c>
      <c r="E24" s="1">
        <f t="shared" si="0"/>
        <v>34.559303272652734</v>
      </c>
    </row>
    <row r="25" spans="1:5" x14ac:dyDescent="0.3">
      <c r="A25">
        <v>24</v>
      </c>
      <c r="B25">
        <v>1.2</v>
      </c>
      <c r="C25">
        <v>8.27</v>
      </c>
      <c r="D25" s="1">
        <f t="shared" si="1"/>
        <v>32.474642500000002</v>
      </c>
      <c r="E25" s="1">
        <f t="shared" si="0"/>
        <v>34.956854122237942</v>
      </c>
    </row>
    <row r="26" spans="1:5" x14ac:dyDescent="0.3">
      <c r="A26">
        <v>25</v>
      </c>
      <c r="B26">
        <v>1.2330000000000001</v>
      </c>
      <c r="C26">
        <v>8.77</v>
      </c>
      <c r="D26" s="1">
        <f t="shared" si="1"/>
        <v>32.755802500000001</v>
      </c>
      <c r="E26" s="1">
        <f t="shared" si="0"/>
        <v>35.372600428242698</v>
      </c>
    </row>
    <row r="27" spans="1:5" x14ac:dyDescent="0.3">
      <c r="A27">
        <v>26</v>
      </c>
      <c r="B27">
        <v>1.2669999999999999</v>
      </c>
      <c r="C27">
        <v>9.8859999999999992</v>
      </c>
      <c r="D27" s="1">
        <f t="shared" si="1"/>
        <v>33.072954500000002</v>
      </c>
      <c r="E27" s="1">
        <f t="shared" si="0"/>
        <v>35.829646123198621</v>
      </c>
    </row>
    <row r="28" spans="1:5" x14ac:dyDescent="0.3">
      <c r="A28">
        <v>27</v>
      </c>
      <c r="B28">
        <v>1.4330000000000001</v>
      </c>
      <c r="C28">
        <v>14.724</v>
      </c>
      <c r="D28" s="1">
        <f t="shared" si="1"/>
        <v>35.115584500000004</v>
      </c>
      <c r="E28" s="1">
        <f t="shared" si="0"/>
        <v>38.164555460086675</v>
      </c>
    </row>
    <row r="29" spans="1:5" x14ac:dyDescent="0.3">
      <c r="A29">
        <v>28</v>
      </c>
      <c r="B29">
        <v>1.4670000000000001</v>
      </c>
      <c r="C29">
        <v>16.614999999999998</v>
      </c>
      <c r="D29" s="1">
        <f t="shared" si="1"/>
        <v>35.648347500000007</v>
      </c>
      <c r="E29" s="1">
        <f t="shared" si="0"/>
        <v>38.867847504372442</v>
      </c>
    </row>
    <row r="30" spans="1:5" x14ac:dyDescent="0.3">
      <c r="A30">
        <v>29</v>
      </c>
      <c r="B30">
        <v>1.5</v>
      </c>
      <c r="C30">
        <v>17.652999999999999</v>
      </c>
      <c r="D30" s="1">
        <f t="shared" si="1"/>
        <v>36.213769500000005</v>
      </c>
      <c r="E30" s="1">
        <f t="shared" si="0"/>
        <v>39.610981295864448</v>
      </c>
    </row>
    <row r="31" spans="1:5" x14ac:dyDescent="0.3">
      <c r="A31">
        <v>30</v>
      </c>
      <c r="B31">
        <v>1.5329999999999999</v>
      </c>
      <c r="C31">
        <v>19.268000000000001</v>
      </c>
      <c r="D31" s="1">
        <f t="shared" si="1"/>
        <v>36.822966000000001</v>
      </c>
      <c r="E31" s="1">
        <f t="shared" si="0"/>
        <v>40.406517009631095</v>
      </c>
    </row>
    <row r="32" spans="1:5" x14ac:dyDescent="0.3">
      <c r="A32">
        <v>31</v>
      </c>
      <c r="B32">
        <v>1.5669999999999999</v>
      </c>
      <c r="C32">
        <v>20.77</v>
      </c>
      <c r="D32" s="1">
        <f t="shared" si="1"/>
        <v>37.503612000000004</v>
      </c>
      <c r="E32" s="1">
        <f t="shared" si="0"/>
        <v>41.285402926033981</v>
      </c>
    </row>
    <row r="33" spans="1:5" x14ac:dyDescent="0.3">
      <c r="A33">
        <v>32</v>
      </c>
      <c r="B33">
        <v>1.6</v>
      </c>
      <c r="C33">
        <v>22.210999999999999</v>
      </c>
      <c r="D33" s="1">
        <f t="shared" si="1"/>
        <v>38.212798500000005</v>
      </c>
      <c r="E33" s="1">
        <f t="shared" si="0"/>
        <v>42.201030471938786</v>
      </c>
    </row>
    <row r="34" spans="1:5" x14ac:dyDescent="0.3">
      <c r="A34">
        <v>33</v>
      </c>
      <c r="B34">
        <v>1.633</v>
      </c>
      <c r="C34">
        <v>25.11</v>
      </c>
      <c r="D34" s="1">
        <f t="shared" si="1"/>
        <v>38.993595000000006</v>
      </c>
      <c r="E34" s="1">
        <f t="shared" si="0"/>
        <v>43.2014445891094</v>
      </c>
    </row>
    <row r="35" spans="1:5" x14ac:dyDescent="0.3">
      <c r="A35">
        <v>34</v>
      </c>
      <c r="B35">
        <v>1.667</v>
      </c>
      <c r="C35">
        <v>26.780999999999999</v>
      </c>
      <c r="D35" s="1">
        <f t="shared" si="1"/>
        <v>39.87574200000001</v>
      </c>
      <c r="E35" s="1">
        <f t="shared" si="0"/>
        <v>44.320489767994644</v>
      </c>
    </row>
    <row r="36" spans="1:5" x14ac:dyDescent="0.3">
      <c r="A36">
        <v>35</v>
      </c>
      <c r="B36">
        <v>1.7</v>
      </c>
      <c r="C36">
        <v>28.013000000000002</v>
      </c>
      <c r="D36" s="1">
        <f t="shared" si="1"/>
        <v>40.779843000000007</v>
      </c>
      <c r="E36" s="1">
        <f t="shared" si="0"/>
        <v>45.470748580134206</v>
      </c>
    </row>
    <row r="37" spans="1:5" x14ac:dyDescent="0.3">
      <c r="A37">
        <v>36</v>
      </c>
      <c r="B37">
        <v>1.7330000000000001</v>
      </c>
      <c r="C37">
        <v>28.718</v>
      </c>
      <c r="D37" s="1">
        <f t="shared" si="1"/>
        <v>41.715904500000008</v>
      </c>
      <c r="E37" s="1">
        <f t="shared" si="0"/>
        <v>46.663681603600544</v>
      </c>
    </row>
    <row r="38" spans="1:5" x14ac:dyDescent="0.3">
      <c r="A38">
        <v>37</v>
      </c>
      <c r="B38">
        <v>1.7669999999999999</v>
      </c>
      <c r="C38">
        <v>28.462</v>
      </c>
      <c r="D38" s="1">
        <f t="shared" si="1"/>
        <v>42.6879645</v>
      </c>
      <c r="E38" s="1">
        <f t="shared" si="0"/>
        <v>47.904196855586257</v>
      </c>
    </row>
    <row r="39" spans="1:5" x14ac:dyDescent="0.3">
      <c r="A39">
        <v>38</v>
      </c>
      <c r="B39">
        <v>1.8</v>
      </c>
      <c r="D39" s="1">
        <f>D38 + (C38)*(B39-B38)</f>
        <v>43.627210500000004</v>
      </c>
      <c r="E39" s="1">
        <f t="shared" si="0"/>
        <v>49.115248186789579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5E29-7E4F-4838-80F6-35E3110FBC17}">
  <dimension ref="A1:D56"/>
  <sheetViews>
    <sheetView tabSelected="1" workbookViewId="0">
      <selection sqref="A1:D1"/>
    </sheetView>
  </sheetViews>
  <sheetFormatPr defaultRowHeight="14.4" x14ac:dyDescent="0.3"/>
  <cols>
    <col min="1" max="1" width="25.88671875" customWidth="1"/>
    <col min="2" max="2" width="13.6640625" customWidth="1"/>
    <col min="3" max="3" width="11.77734375" customWidth="1"/>
  </cols>
  <sheetData>
    <row r="1" spans="1:4" ht="18" x14ac:dyDescent="0.35">
      <c r="A1" s="3" t="s">
        <v>53</v>
      </c>
      <c r="B1" s="4"/>
      <c r="C1" s="4"/>
      <c r="D1" s="4"/>
    </row>
    <row r="3" spans="1:4" x14ac:dyDescent="0.3">
      <c r="A3" s="5" t="s">
        <v>54</v>
      </c>
      <c r="B3" s="5" t="s">
        <v>55</v>
      </c>
      <c r="C3" s="5" t="s">
        <v>56</v>
      </c>
      <c r="D3" s="5" t="s">
        <v>29</v>
      </c>
    </row>
    <row r="4" spans="1:4" x14ac:dyDescent="0.3">
      <c r="A4" t="s">
        <v>57</v>
      </c>
      <c r="B4">
        <v>0</v>
      </c>
      <c r="C4">
        <v>1</v>
      </c>
      <c r="D4" t="s">
        <v>58</v>
      </c>
    </row>
    <row r="5" spans="1:4" x14ac:dyDescent="0.3">
      <c r="A5" t="s">
        <v>59</v>
      </c>
      <c r="B5">
        <v>7.5</v>
      </c>
      <c r="C5">
        <v>11</v>
      </c>
      <c r="D5" t="s">
        <v>60</v>
      </c>
    </row>
    <row r="6" spans="1:4" x14ac:dyDescent="0.3">
      <c r="A6" t="s">
        <v>1</v>
      </c>
      <c r="B6">
        <v>13.5</v>
      </c>
      <c r="C6">
        <v>5</v>
      </c>
      <c r="D6" t="s">
        <v>61</v>
      </c>
    </row>
    <row r="7" spans="1:4" x14ac:dyDescent="0.3">
      <c r="A7" t="s">
        <v>62</v>
      </c>
      <c r="B7">
        <v>20.9</v>
      </c>
      <c r="C7">
        <v>12.5</v>
      </c>
      <c r="D7" t="s">
        <v>63</v>
      </c>
    </row>
    <row r="8" spans="1:4" x14ac:dyDescent="0.3">
      <c r="A8" t="s">
        <v>30</v>
      </c>
      <c r="B8">
        <v>21.4</v>
      </c>
      <c r="C8">
        <v>13</v>
      </c>
      <c r="D8" t="s">
        <v>64</v>
      </c>
    </row>
    <row r="9" spans="1:4" x14ac:dyDescent="0.3">
      <c r="A9" t="s">
        <v>65</v>
      </c>
      <c r="B9">
        <v>21.7</v>
      </c>
      <c r="C9">
        <v>12.5</v>
      </c>
      <c r="D9" t="s">
        <v>66</v>
      </c>
    </row>
    <row r="10" spans="1:4" x14ac:dyDescent="0.3">
      <c r="A10" t="s">
        <v>67</v>
      </c>
      <c r="B10">
        <v>30.3</v>
      </c>
      <c r="C10">
        <v>-1.7</v>
      </c>
      <c r="D10" t="s">
        <v>68</v>
      </c>
    </row>
    <row r="12" spans="1:4" x14ac:dyDescent="0.3">
      <c r="A12" s="2" t="s">
        <v>69</v>
      </c>
      <c r="B12">
        <v>12.5</v>
      </c>
      <c r="C12" t="s">
        <v>7</v>
      </c>
    </row>
    <row r="15" spans="1:4" ht="18" x14ac:dyDescent="0.35">
      <c r="A15" s="3" t="s">
        <v>70</v>
      </c>
      <c r="B15" s="4"/>
      <c r="C15" s="4"/>
      <c r="D15" s="4"/>
    </row>
    <row r="17" spans="1:4" x14ac:dyDescent="0.3">
      <c r="A17" s="5" t="s">
        <v>71</v>
      </c>
      <c r="B17" s="5" t="s">
        <v>72</v>
      </c>
      <c r="C17" s="5" t="s">
        <v>73</v>
      </c>
      <c r="D17" s="5" t="s">
        <v>74</v>
      </c>
    </row>
    <row r="18" spans="1:4" x14ac:dyDescent="0.3">
      <c r="A18" t="s">
        <v>75</v>
      </c>
      <c r="B18">
        <v>12.5</v>
      </c>
      <c r="C18">
        <v>0.8</v>
      </c>
      <c r="D18" t="s">
        <v>76</v>
      </c>
    </row>
    <row r="19" spans="1:4" x14ac:dyDescent="0.3">
      <c r="A19" t="s">
        <v>77</v>
      </c>
      <c r="B19">
        <v>8.5</v>
      </c>
      <c r="C19">
        <v>-0.70599999999999996</v>
      </c>
      <c r="D19" t="s">
        <v>78</v>
      </c>
    </row>
    <row r="20" spans="1:4" x14ac:dyDescent="0.3">
      <c r="A20" t="s">
        <v>79</v>
      </c>
      <c r="B20">
        <v>10.5</v>
      </c>
      <c r="C20">
        <v>0.71399999999999997</v>
      </c>
      <c r="D20" t="s">
        <v>80</v>
      </c>
    </row>
    <row r="21" spans="1:4" x14ac:dyDescent="0.3">
      <c r="A21" t="s">
        <v>81</v>
      </c>
      <c r="B21">
        <v>0.7</v>
      </c>
      <c r="C21">
        <v>0.71399999999999997</v>
      </c>
      <c r="D21" t="s">
        <v>82</v>
      </c>
    </row>
    <row r="22" spans="1:4" x14ac:dyDescent="0.3">
      <c r="A22" t="s">
        <v>83</v>
      </c>
      <c r="B22">
        <v>0.6</v>
      </c>
      <c r="C22">
        <v>-0.85499999999999998</v>
      </c>
      <c r="D22" t="s">
        <v>84</v>
      </c>
    </row>
    <row r="23" spans="1:4" x14ac:dyDescent="0.3">
      <c r="A23" t="s">
        <v>85</v>
      </c>
      <c r="B23">
        <v>16.600000000000001</v>
      </c>
      <c r="C23">
        <v>-0.85499999999999998</v>
      </c>
      <c r="D23" t="s">
        <v>86</v>
      </c>
    </row>
    <row r="25" spans="1:4" x14ac:dyDescent="0.3">
      <c r="A25" s="2" t="s">
        <v>6</v>
      </c>
      <c r="B25">
        <v>49.4</v>
      </c>
      <c r="C25" t="s">
        <v>7</v>
      </c>
    </row>
    <row r="28" spans="1:4" ht="18" x14ac:dyDescent="0.35">
      <c r="A28" s="3" t="s">
        <v>8</v>
      </c>
      <c r="B28" s="4"/>
      <c r="C28" s="4"/>
    </row>
    <row r="30" spans="1:4" x14ac:dyDescent="0.3">
      <c r="A30" s="5" t="s">
        <v>9</v>
      </c>
      <c r="B30" s="5" t="s">
        <v>10</v>
      </c>
      <c r="C30" s="5" t="s">
        <v>11</v>
      </c>
    </row>
    <row r="31" spans="1:4" x14ac:dyDescent="0.3">
      <c r="A31" t="s">
        <v>12</v>
      </c>
      <c r="B31">
        <v>0</v>
      </c>
      <c r="C31" t="s">
        <v>13</v>
      </c>
    </row>
    <row r="32" spans="1:4" x14ac:dyDescent="0.3">
      <c r="A32" t="s">
        <v>14</v>
      </c>
      <c r="B32">
        <v>12.5</v>
      </c>
      <c r="C32" t="s">
        <v>15</v>
      </c>
    </row>
    <row r="33" spans="1:3" x14ac:dyDescent="0.3">
      <c r="A33" t="s">
        <v>16</v>
      </c>
      <c r="B33">
        <v>21</v>
      </c>
      <c r="C33" t="s">
        <v>17</v>
      </c>
    </row>
    <row r="34" spans="1:3" x14ac:dyDescent="0.3">
      <c r="A34" t="s">
        <v>18</v>
      </c>
      <c r="B34">
        <v>31.5</v>
      </c>
      <c r="C34" t="s">
        <v>19</v>
      </c>
    </row>
    <row r="35" spans="1:3" x14ac:dyDescent="0.3">
      <c r="A35" t="s">
        <v>20</v>
      </c>
      <c r="B35">
        <v>32.200000000000003</v>
      </c>
      <c r="C35" t="s">
        <v>21</v>
      </c>
    </row>
    <row r="36" spans="1:3" x14ac:dyDescent="0.3">
      <c r="A36" t="s">
        <v>22</v>
      </c>
      <c r="B36">
        <v>32.799999999999997</v>
      </c>
      <c r="C36" t="s">
        <v>23</v>
      </c>
    </row>
    <row r="37" spans="1:3" x14ac:dyDescent="0.3">
      <c r="A37" t="s">
        <v>24</v>
      </c>
      <c r="B37">
        <v>49.4</v>
      </c>
      <c r="C37" t="s">
        <v>25</v>
      </c>
    </row>
    <row r="39" spans="1:3" x14ac:dyDescent="0.3">
      <c r="A39" t="s">
        <v>26</v>
      </c>
    </row>
    <row r="41" spans="1:3" x14ac:dyDescent="0.3">
      <c r="A41" t="s">
        <v>27</v>
      </c>
      <c r="B41" t="s">
        <v>28</v>
      </c>
      <c r="C41" t="s">
        <v>29</v>
      </c>
    </row>
    <row r="42" spans="1:3" x14ac:dyDescent="0.3">
      <c r="A42" t="s">
        <v>30</v>
      </c>
      <c r="B42" t="s">
        <v>31</v>
      </c>
    </row>
    <row r="43" spans="1:3" x14ac:dyDescent="0.3">
      <c r="A43" t="s">
        <v>32</v>
      </c>
      <c r="B43" s="6" t="s">
        <v>33</v>
      </c>
    </row>
    <row r="44" spans="1:3" x14ac:dyDescent="0.3">
      <c r="A44" t="s">
        <v>34</v>
      </c>
      <c r="B44" t="s">
        <v>35</v>
      </c>
    </row>
    <row r="45" spans="1:3" x14ac:dyDescent="0.3">
      <c r="A45" t="s">
        <v>36</v>
      </c>
      <c r="B45">
        <v>4</v>
      </c>
    </row>
    <row r="47" spans="1:3" x14ac:dyDescent="0.3">
      <c r="A47" t="s">
        <v>37</v>
      </c>
    </row>
    <row r="48" spans="1:3" x14ac:dyDescent="0.3">
      <c r="A48" t="s">
        <v>38</v>
      </c>
      <c r="B48" t="s">
        <v>39</v>
      </c>
    </row>
    <row r="49" spans="1:2" x14ac:dyDescent="0.3">
      <c r="A49" t="s">
        <v>40</v>
      </c>
      <c r="B49" t="s">
        <v>41</v>
      </c>
    </row>
    <row r="50" spans="1:2" x14ac:dyDescent="0.3">
      <c r="A50" t="s">
        <v>42</v>
      </c>
      <c r="B50" t="s">
        <v>43</v>
      </c>
    </row>
    <row r="51" spans="1:2" x14ac:dyDescent="0.3">
      <c r="A51" t="s">
        <v>44</v>
      </c>
      <c r="B51" t="s">
        <v>45</v>
      </c>
    </row>
    <row r="52" spans="1:2" x14ac:dyDescent="0.3">
      <c r="A52" t="s">
        <v>46</v>
      </c>
      <c r="B52" t="s">
        <v>47</v>
      </c>
    </row>
    <row r="53" spans="1:2" x14ac:dyDescent="0.3">
      <c r="A53" t="s">
        <v>48</v>
      </c>
      <c r="B53" t="s">
        <v>49</v>
      </c>
    </row>
    <row r="54" spans="1:2" x14ac:dyDescent="0.3">
      <c r="A54" t="s">
        <v>50</v>
      </c>
      <c r="B54" t="s">
        <v>51</v>
      </c>
    </row>
    <row r="56" spans="1:2" x14ac:dyDescent="0.3">
      <c r="B56" t="s">
        <v>52</v>
      </c>
    </row>
  </sheetData>
  <mergeCells count="3">
    <mergeCell ref="A1:D1"/>
    <mergeCell ref="A15:D15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Notebook-17-26 (1)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Stelios Raptopoulos</cp:lastModifiedBy>
  <dcterms:created xsi:type="dcterms:W3CDTF">2025-12-14T21:31:29Z</dcterms:created>
  <dcterms:modified xsi:type="dcterms:W3CDTF">2025-12-14T21:38:18Z</dcterms:modified>
</cp:coreProperties>
</file>